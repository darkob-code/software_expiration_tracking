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ko\Downloads\"/>
    </mc:Choice>
  </mc:AlternateContent>
  <xr:revisionPtr revIDLastSave="0" documentId="13_ncr:1_{E7707E7F-0ECE-49BD-96C5-851C02EC0E3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oftware expiration date" sheetId="2" r:id="rId1"/>
    <sheet name="Certificate expiration date" sheetId="3" r:id="rId2"/>
  </sheets>
  <calcPr calcId="191029"/>
</workbook>
</file>

<file path=xl/calcChain.xml><?xml version="1.0" encoding="utf-8"?>
<calcChain xmlns="http://schemas.openxmlformats.org/spreadsheetml/2006/main">
  <c r="K33" i="2" l="1"/>
  <c r="M33" i="2" s="1"/>
  <c r="K34" i="2"/>
  <c r="M34" i="2" s="1"/>
  <c r="K35" i="2"/>
  <c r="M35" i="2" s="1"/>
  <c r="K36" i="2"/>
  <c r="M36" i="2" s="1"/>
  <c r="K17" i="2"/>
  <c r="M17" i="2" s="1"/>
  <c r="K14" i="2" l="1"/>
  <c r="M14" i="2" s="1"/>
  <c r="K13" i="2"/>
  <c r="M13" i="2" s="1"/>
  <c r="K32" i="2" l="1"/>
  <c r="M32" i="2" s="1"/>
  <c r="K28" i="2"/>
  <c r="M28" i="2" s="1"/>
  <c r="K19" i="2"/>
  <c r="M19" i="2" s="1"/>
  <c r="K29" i="2"/>
  <c r="M29" i="2" s="1"/>
  <c r="K21" i="2"/>
  <c r="M21" i="2" s="1"/>
  <c r="K11" i="2"/>
  <c r="M11" i="2" s="1"/>
  <c r="K12" i="2"/>
  <c r="M12" i="2" s="1"/>
  <c r="K10" i="2"/>
  <c r="M10" i="2" s="1"/>
  <c r="K16" i="2"/>
  <c r="M16" i="2" s="1"/>
  <c r="K15" i="2"/>
  <c r="M15" i="2" s="1"/>
  <c r="K24" i="2"/>
  <c r="M24" i="2" s="1"/>
  <c r="K26" i="2"/>
  <c r="M26" i="2" s="1"/>
  <c r="K30" i="2"/>
  <c r="M30" i="2" s="1"/>
  <c r="K23" i="2"/>
  <c r="M23" i="2" s="1"/>
  <c r="K25" i="2"/>
  <c r="M25" i="2" s="1"/>
  <c r="K27" i="2"/>
  <c r="M27" i="2" s="1"/>
  <c r="K31" i="2"/>
  <c r="M31" i="2" s="1"/>
  <c r="K18" i="2"/>
  <c r="M18" i="2" s="1"/>
  <c r="K22" i="2"/>
  <c r="M22" i="2" s="1"/>
  <c r="K20" i="2"/>
  <c r="M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3282D8-A195-45CC-8198-501ACE55F340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  <connection id="2" xr16:uid="{505199DD-B94C-48BE-B699-7CE5097FD819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<sst xmlns="http://schemas.openxmlformats.org/spreadsheetml/2006/main" count="192" uniqueCount="112">
  <si>
    <t>Company name</t>
  </si>
  <si>
    <t>Year</t>
  </si>
  <si>
    <t>Certificate 1</t>
  </si>
  <si>
    <t>Certificate 2</t>
  </si>
  <si>
    <t>Certificate 3</t>
  </si>
  <si>
    <t>Certificate 4</t>
  </si>
  <si>
    <t>Certificate Expiration Date Tracking</t>
  </si>
  <si>
    <t>Service</t>
  </si>
  <si>
    <t>PaperCut</t>
  </si>
  <si>
    <t>reseller_email</t>
  </si>
  <si>
    <t>service</t>
  </si>
  <si>
    <t>start_date</t>
  </si>
  <si>
    <t>Cert 1</t>
  </si>
  <si>
    <t>Cert 2</t>
  </si>
  <si>
    <t>Cert 3</t>
  </si>
  <si>
    <t>Cert 4</t>
  </si>
  <si>
    <t>Cert 5</t>
  </si>
  <si>
    <t>Cert 6</t>
  </si>
  <si>
    <t>subscription_id</t>
  </si>
  <si>
    <t>contract_renewal_date</t>
  </si>
  <si>
    <t>contract_number</t>
  </si>
  <si>
    <t>term_(years)</t>
  </si>
  <si>
    <t>days_to_expiry</t>
  </si>
  <si>
    <t>offering_name</t>
  </si>
  <si>
    <t>AutoCAD LT</t>
  </si>
  <si>
    <t>Autodesk</t>
  </si>
  <si>
    <t>autodesk@intelika.hr</t>
  </si>
  <si>
    <t>PaperCut MF</t>
  </si>
  <si>
    <t>(NCE) Microsoft 365 Apps for business</t>
  </si>
  <si>
    <t>(NCE) Microsoft 365 Business Standard</t>
  </si>
  <si>
    <t>Microsoft</t>
  </si>
  <si>
    <t>Microsoft Fabric (Free)</t>
  </si>
  <si>
    <t>Microsoft Power Automate Free</t>
  </si>
  <si>
    <t>Adobe</t>
  </si>
  <si>
    <t>(+44)-207-365-735</t>
  </si>
  <si>
    <t>(+44)-207-365-736</t>
  </si>
  <si>
    <t>(+44)-207-365-737</t>
  </si>
  <si>
    <t>Corel</t>
  </si>
  <si>
    <t>CorelDRAW® Graphics Suite - Volume Subscription</t>
  </si>
  <si>
    <t>Total licenses</t>
  </si>
  <si>
    <t>Used licenses</t>
  </si>
  <si>
    <t>contract</t>
  </si>
  <si>
    <t>link</t>
  </si>
  <si>
    <t>Eset</t>
  </si>
  <si>
    <t>ESET Endpoint Security + ESET Server Security</t>
  </si>
  <si>
    <t>Google</t>
  </si>
  <si>
    <t>Google Enterprise Standard</t>
  </si>
  <si>
    <t>support</t>
  </si>
  <si>
    <t>Software Expiration Date Tracking</t>
  </si>
  <si>
    <t>Veeam</t>
  </si>
  <si>
    <t>Veeam Data Platform Advanced Enterprise</t>
  </si>
  <si>
    <t>Veeam ONE</t>
  </si>
  <si>
    <t>SQL Server 2022</t>
  </si>
  <si>
    <t>SQL Server 2022 - 1 User CAL</t>
  </si>
  <si>
    <t>(NCE) Visio plan 2</t>
  </si>
  <si>
    <t>Intel</t>
  </si>
  <si>
    <t>Info@company.com</t>
  </si>
  <si>
    <t>Creative Cloud All Apps</t>
  </si>
  <si>
    <t>Acrobat Pro</t>
  </si>
  <si>
    <t>Photoshop</t>
  </si>
  <si>
    <t>sales@company.com</t>
  </si>
  <si>
    <t>info@info.com</t>
  </si>
  <si>
    <t>autodesk@autocad.com</t>
  </si>
  <si>
    <t>info@info.ie</t>
  </si>
  <si>
    <t>nod32@eset.com</t>
  </si>
  <si>
    <t>(VIP - 987654321)</t>
  </si>
  <si>
    <t>573-04321654</t>
  </si>
  <si>
    <t>573-04321655</t>
  </si>
  <si>
    <t>573-04321656</t>
  </si>
  <si>
    <t>573-04321657</t>
  </si>
  <si>
    <t>573-04321658</t>
  </si>
  <si>
    <t>573-04321659</t>
  </si>
  <si>
    <t>333-999-555</t>
  </si>
  <si>
    <t>JDUDJDHDNFZDGDHDJDKD</t>
  </si>
  <si>
    <t>PQOQQIWUWZEEE</t>
  </si>
  <si>
    <t>PWOWIWUUDJHFZRH</t>
  </si>
  <si>
    <t>573-123456</t>
  </si>
  <si>
    <t>573-123457</t>
  </si>
  <si>
    <t>572-87456321</t>
  </si>
  <si>
    <t>573-123458</t>
  </si>
  <si>
    <t>573-123459</t>
  </si>
  <si>
    <t>573-123460</t>
  </si>
  <si>
    <t>573-123461</t>
  </si>
  <si>
    <t>573-123462</t>
  </si>
  <si>
    <t>(+44)-207-365-738</t>
  </si>
  <si>
    <t>(+44)-207-365-739</t>
  </si>
  <si>
    <t>(+44)-207-365-740</t>
  </si>
  <si>
    <t>(+44)-207-365-741</t>
  </si>
  <si>
    <t>(+44)-207-365-742</t>
  </si>
  <si>
    <t>(+353)-207-365-743</t>
  </si>
  <si>
    <t>(+353)-207-365-744</t>
  </si>
  <si>
    <t>(+353)-207-365-745</t>
  </si>
  <si>
    <t>(+353)-207-365-746</t>
  </si>
  <si>
    <t>(+353)-207-365-747</t>
  </si>
  <si>
    <t>(+353)-207-365-748</t>
  </si>
  <si>
    <t>(+353)-207-365-749</t>
  </si>
  <si>
    <t>(+353)-207-365-750</t>
  </si>
  <si>
    <t>(+353)-207-365-751</t>
  </si>
  <si>
    <t>(+353)-207-365-752</t>
  </si>
  <si>
    <t>(+353)-207-365-753</t>
  </si>
  <si>
    <t>(+353)-207-365-754</t>
  </si>
  <si>
    <t>(+353)-207-365-755</t>
  </si>
  <si>
    <t>(+353)-207-365-756</t>
  </si>
  <si>
    <t>(+353)-207-365-757</t>
  </si>
  <si>
    <t>(+353)-207-365-758</t>
  </si>
  <si>
    <t>(+353)-207-365-759</t>
  </si>
  <si>
    <t>(+353)-207-365-760</t>
  </si>
  <si>
    <t>(+353)-207-365-761</t>
  </si>
  <si>
    <t>info@google.com</t>
  </si>
  <si>
    <t>info@corel.com</t>
  </si>
  <si>
    <t>*NOTE: this is dummy  sheet</t>
  </si>
  <si>
    <t>52A7D0E53FA36ASDF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</si>
</sst>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33333"/>
      <name val="Source Sans Pro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164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0" fontId="3" fillId="0" borderId="0" xfId="1" applyAlignment="1" applyProtection="1"/>
    <xf numFmtId="0" fontId="6" fillId="2" borderId="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3" fillId="0" borderId="11" xfId="1" applyBorder="1" applyAlignment="1" applyProtection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3" fillId="0" borderId="11" xfId="1" applyBorder="1" applyAlignment="1" applyProtection="1">
      <alignment horizontal="center" vertical="center" wrapText="1"/>
    </xf>
    <xf numFmtId="164" fontId="3" fillId="0" borderId="11" xfId="1" applyNumberFormat="1" applyBorder="1" applyAlignment="1" applyProtection="1">
      <alignment horizontal="center" vertical="center"/>
    </xf>
    <xf numFmtId="0" fontId="7" fillId="0" borderId="11" xfId="0" applyFont="1" applyBorder="1"/>
    <xf numFmtId="0" fontId="0" fillId="0" borderId="11" xfId="0" applyBorder="1" applyAlignment="1">
      <alignment horizontal="center"/>
    </xf>
    <xf numFmtId="0" fontId="6" fillId="2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15" xfId="1" applyBorder="1" applyAlignment="1" applyProtection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3" fillId="0" borderId="11" xfId="1" applyBorder="1" applyAlignment="1" applyProtection="1">
      <alignment horizontal="center"/>
    </xf>
    <xf numFmtId="0" fontId="0" fillId="0" borderId="1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9">
    <dxf>
      <font>
        <color rgb="FFFF0000"/>
      </font>
      <fill>
        <patternFill>
          <bgColor theme="9" tint="0.39994506668294322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thin">
          <color indexed="64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4</xdr:col>
      <xdr:colOff>358140</xdr:colOff>
      <xdr:row>7</xdr:row>
      <xdr:rowOff>160020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295400"/>
          <a:ext cx="5455920" cy="533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1</xdr:col>
      <xdr:colOff>491490</xdr:colOff>
      <xdr:row>2</xdr:row>
      <xdr:rowOff>154305</xdr:rowOff>
    </xdr:from>
    <xdr:to>
      <xdr:col>2</xdr:col>
      <xdr:colOff>758190</xdr:colOff>
      <xdr:row>3</xdr:row>
      <xdr:rowOff>278130</xdr:rowOff>
    </xdr:to>
    <xdr:sp macro="[0]!send" textlink="">
      <xdr:nvSpPr>
        <xdr:cNvPr id="6" name="Rectangle: Rounded Corners 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E72A7CAC-920C-393C-0EA5-BD45D96DB39A}"/>
            </a:ext>
          </a:extLst>
        </xdr:cNvPr>
        <xdr:cNvSpPr/>
      </xdr:nvSpPr>
      <xdr:spPr>
        <a:xfrm>
          <a:off x="1243965" y="725805"/>
          <a:ext cx="10477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hr-HR" sz="900"/>
            <a:t>Check Expiration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</xdr:rowOff>
        </xdr:from>
        <xdr:to>
          <xdr:col>0</xdr:col>
          <xdr:colOff>762000</xdr:colOff>
          <xdr:row>7</xdr:row>
          <xdr:rowOff>152400</xdr:rowOff>
        </xdr:to>
        <xdr:sp macro="" textlink="">
          <xdr:nvSpPr>
            <xdr:cNvPr id="1032" name="Autodesk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6</xdr:row>
          <xdr:rowOff>7620</xdr:rowOff>
        </xdr:from>
        <xdr:to>
          <xdr:col>1</xdr:col>
          <xdr:colOff>746760</xdr:colOff>
          <xdr:row>7</xdr:row>
          <xdr:rowOff>152400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746760</xdr:colOff>
          <xdr:row>6</xdr:row>
          <xdr:rowOff>7620</xdr:rowOff>
        </xdr:from>
        <xdr:to>
          <xdr:col>2</xdr:col>
          <xdr:colOff>708660</xdr:colOff>
          <xdr:row>7</xdr:row>
          <xdr:rowOff>152400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708660</xdr:colOff>
          <xdr:row>6</xdr:row>
          <xdr:rowOff>7620</xdr:rowOff>
        </xdr:from>
        <xdr:to>
          <xdr:col>2</xdr:col>
          <xdr:colOff>1470660</xdr:colOff>
          <xdr:row>7</xdr:row>
          <xdr:rowOff>152400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1470660</xdr:colOff>
          <xdr:row>6</xdr:row>
          <xdr:rowOff>7620</xdr:rowOff>
        </xdr:from>
        <xdr:to>
          <xdr:col>2</xdr:col>
          <xdr:colOff>2232660</xdr:colOff>
          <xdr:row>7</xdr:row>
          <xdr:rowOff>152400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2232660</xdr:colOff>
          <xdr:row>6</xdr:row>
          <xdr:rowOff>7620</xdr:rowOff>
        </xdr:from>
        <xdr:to>
          <xdr:col>3</xdr:col>
          <xdr:colOff>685800</xdr:colOff>
          <xdr:row>7</xdr:row>
          <xdr:rowOff>152400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6</xdr:row>
          <xdr:rowOff>7620</xdr:rowOff>
        </xdr:from>
        <xdr:to>
          <xdr:col>4</xdr:col>
          <xdr:colOff>251460</xdr:colOff>
          <xdr:row>7</xdr:row>
          <xdr:rowOff>152400</xdr:rowOff>
        </xdr:to>
        <xdr:sp macro="" textlink="">
          <xdr:nvSpPr>
            <xdr:cNvPr id="1039" name="CommandButton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563880</xdr:colOff>
      <xdr:row>4</xdr:row>
      <xdr:rowOff>182880</xdr:rowOff>
    </xdr:from>
    <xdr:to>
      <xdr:col>2</xdr:col>
      <xdr:colOff>1478280</xdr:colOff>
      <xdr:row>6</xdr:row>
      <xdr:rowOff>15240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141220" y="1272540"/>
          <a:ext cx="9144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100" b="1"/>
            <a:t>Admin login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rko Brajičić" id="{D5D65FDF-0ED2-4850-96C6-A6A246DCC131}" userId="S::darko.brajicic@studenac.onmicrosoft.com::be23955d-cf9e-4029-ba05-17483f286c2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1902A0-27C0-4B1B-B00B-B0A4C1F76B57}" name="Expiration" displayName="Expiration" ref="A9:M36" totalsRowShown="0" headerRowDxfId="16" headerRowBorderDxfId="15" tableBorderDxfId="14">
  <autoFilter ref="A9:M36" xr:uid="{C51902A0-27C0-4B1B-B00B-B0A4C1F76B57}"/>
  <sortState xmlns:xlrd2="http://schemas.microsoft.com/office/spreadsheetml/2017/richdata2" ref="A10:M36">
    <sortCondition ref="K9:K36"/>
  </sortState>
  <tableColumns count="13">
    <tableColumn id="1" xr3:uid="{7767DFF2-0465-42C6-AC84-A657EA425CA1}" name="service" dataDxfId="13"/>
    <tableColumn id="2" xr3:uid="{77DD6D97-EE94-4890-AE71-FE1ADB0B23BB}" name="start_date" dataDxfId="12"/>
    <tableColumn id="3" xr3:uid="{B29C4D8B-095E-4A95-91BE-03FDCDF7823C}" name="offering_name" dataDxfId="11"/>
    <tableColumn id="4" xr3:uid="{9C6B7C96-F672-4492-9EF8-A17A4549DA6A}" name="contract_number" dataDxfId="10"/>
    <tableColumn id="5" xr3:uid="{51C3C6A0-862C-46D0-9337-E153523E3AE6}" name="subscription_id" dataDxfId="9"/>
    <tableColumn id="6" xr3:uid="{23A89689-7ED1-4E6C-A2CD-892430A201DA}" name="reseller_email" dataDxfId="8"/>
    <tableColumn id="7" xr3:uid="{6820E6E7-2EBA-4D2B-97F1-1A95861C7D72}" name="support" dataDxfId="7"/>
    <tableColumn id="8" xr3:uid="{4F6B4D8D-F7DA-4487-B39A-6EC1D77E35BE}" name="Total licenses" dataDxfId="6"/>
    <tableColumn id="12" xr3:uid="{CE533B15-DAB8-46BC-8573-9DCF3B7F320D}" name="Used licenses" dataDxfId="5"/>
    <tableColumn id="9" xr3:uid="{295F8093-6DB3-41E7-A39C-31F6F0C98F91}" name="term_(years)" dataDxfId="4"/>
    <tableColumn id="10" xr3:uid="{1EDEC7A8-EA03-48E6-8C7A-F255CF777EF0}" name="contract_renewal_date" dataDxfId="3">
      <calculatedColumnFormula>DATE(YEAR(B10)+INT(J10), MONTH(B10)+(J10-TRUNC(J10))*12, DAY(B10))</calculatedColumnFormula>
    </tableColumn>
    <tableColumn id="13" xr3:uid="{871E7D3C-019C-4602-B3B9-200C49DA4EB7}" name="contract" dataDxfId="2"/>
    <tableColumn id="11" xr3:uid="{78D46C98-1502-4BE7-B554-30990E398C06}" name="days_to_expiry" dataDxfId="1">
      <calculatedColumnFormula>K10-TODAY()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8-14T11:04:45.63" personId="{D5D65FDF-0ED2-4850-96C6-A6A246DCC131}" id="{26890853-10AC-458B-980C-1155A8D80259}">
    <text>Initial purchase date
7/5/2023</text>
  </threadedComment>
  <threadedComment ref="B19" dT="2023-08-16T13:09:35.64" personId="{D5D65FDF-0ED2-4850-96C6-A6A246DCC131}" id="{1BD9154E-AEBB-4AA6-8FE5-09F45BDA4B10}">
    <text>Start date is 13.2.2023</text>
  </threadedComment>
  <threadedComment ref="E19" dT="2023-10-18T07:08:20.61" personId="{D5D65FDF-0ED2-4850-96C6-A6A246DCC131}" id="{06A75360-3E8D-4E0B-A1A7-3BD270B7CB60}">
    <text>Lolita.juginovic@studenac.hr</text>
    <extLst>
      <x:ext xmlns:xltc2="http://schemas.microsoft.com/office/spreadsheetml/2020/threadedcomments2" uri="{F7C98A9C-CBB3-438F-8F68-D28B6AF4A901}">
        <xltc2:checksum>4042174308</xltc2:checksum>
        <xltc2:hyperlink startIndex="0" length="28" url="Lolita.juginovic@studenac.hr"/>
      </x:ext>
    </extLst>
  </threadedComment>
  <threadedComment ref="B21" dT="2023-08-16T13:08:40.87" personId="{D5D65FDF-0ED2-4850-96C6-A6A246DCC131}" id="{26B95CA1-B83C-48DA-82D5-545F91A203D3}">
    <text>Start date is 21.2.2023</text>
  </threadedComment>
  <threadedComment ref="E21" dT="2023-10-18T07:07:52.55" personId="{D5D65FDF-0ED2-4850-96C6-A6A246DCC131}" id="{E9901B38-4335-405B-84C3-FEF935CBAE3A}">
    <text>Jurica.salinovic@studenac.hr</text>
    <extLst>
      <x:ext xmlns:xltc2="http://schemas.microsoft.com/office/spreadsheetml/2020/threadedcomments2" uri="{F7C98A9C-CBB3-438F-8F68-D28B6AF4A901}">
        <xltc2:checksum>886799985</xltc2:checksum>
        <xltc2:hyperlink startIndex="0" length="28" url="Jurica.salinovic@studenac.hr"/>
      </x:ext>
    </extLst>
  </threadedComment>
  <threadedComment ref="I21" dT="2023-08-23T12:33:05.39" personId="{D5D65FDF-0ED2-4850-96C6-A6A246DCC131}" id="{6B9B05A9-0D0D-44FD-B7B1-878886A3986F}">
    <text>Slobodna licenca! Zadnje na Kreši Ceglecu (radni ugovor završio 20.6.2023)</text>
  </threadedComment>
  <threadedComment ref="I21" dT="2023-10-16T07:06:42.41" personId="{D5D65FDF-0ED2-4850-96C6-A6A246DCC131}" id="{901EAE24-4266-4A42-947D-0F878A309979}" parentId="{6B9B05A9-0D0D-44FD-B7B1-878886A3986F}">
    <text>Krešin laptop:
LAPOMW10P001
SN:	
DR24S222NWPXKFPVXKJSNUYHTGPDVHAHN	
Date reg:2023-02-22 Last access:2023-06-30</text>
  </threadedComment>
  <threadedComment ref="I21" dT="2023-10-18T06:27:38.06" personId="{D5D65FDF-0ED2-4850-96C6-A6A246DCC131}" id="{1498A344-3D6E-4EFD-A2B7-EA8C48F7606B}" parentId="{6B9B05A9-0D0D-44FD-B7B1-878886A3986F}">
    <text>Licenca povezana sa Juricom Šalinović</text>
  </threadedComment>
  <threadedComment ref="E28" dT="2023-12-27T07:32:59.82" personId="{D5D65FDF-0ED2-4850-96C6-A6A246DCC131}" id="{A4D81F72-A774-4F7E-A443-69D04D7AAA8E}">
    <text xml:space="preserve">Licence Key: BM6E-XAH9-VXRU-BUN7-V7ME </text>
  </threadedComment>
  <threadedComment ref="B29" dT="2023-08-16T13:09:56.09" personId="{D5D65FDF-0ED2-4850-96C6-A6A246DCC131}" id="{F8E2B7BF-AA35-4491-8A46-63CC01251F43}">
    <text>Start date is 9.12.2023</text>
  </threadedComment>
  <threadedComment ref="E29" dT="2023-10-18T07:08:46.72" personId="{D5D65FDF-0ED2-4850-96C6-A6A246DCC131}" id="{970B04E2-8620-4F75-9619-B9CAF02949BB}">
    <text>Ante.ljubicic@studenac.hr</text>
    <extLst>
      <x:ext xmlns:xltc2="http://schemas.microsoft.com/office/spreadsheetml/2020/threadedcomments2" uri="{F7C98A9C-CBB3-438F-8F68-D28B6AF4A901}">
        <xltc2:checksum>3638365695</xltc2:checksum>
        <xltc2:hyperlink startIndex="0" length="25" url="Ante.ljubicic@studenac.hr"/>
      </x:ext>
    </extLst>
  </threadedComment>
  <threadedComment ref="B30" dT="2023-12-27T08:29:36.93" personId="{D5D65FDF-0ED2-4850-96C6-A6A246DCC131}" id="{DBB9772A-8E13-4B63-9884-865B666FC59A}">
    <text>Uplaćeno 20.12.2023. na konzoli još nije azurirano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ales@company.com" TargetMode="External"/><Relationship Id="rId13" Type="http://schemas.openxmlformats.org/officeDocument/2006/relationships/hyperlink" Target="mailto:autodesk@autocad.com" TargetMode="External"/><Relationship Id="rId18" Type="http://schemas.openxmlformats.org/officeDocument/2006/relationships/hyperlink" Target="mailto:info@corel.com" TargetMode="External"/><Relationship Id="rId26" Type="http://schemas.openxmlformats.org/officeDocument/2006/relationships/control" Target="../activeX/activeX2.xml"/><Relationship Id="rId3" Type="http://schemas.openxmlformats.org/officeDocument/2006/relationships/hyperlink" Target="mailto:Info@company.com" TargetMode="External"/><Relationship Id="rId21" Type="http://schemas.openxmlformats.org/officeDocument/2006/relationships/printerSettings" Target="../printerSettings/printerSettings1.bin"/><Relationship Id="rId34" Type="http://schemas.openxmlformats.org/officeDocument/2006/relationships/control" Target="../activeX/activeX6.xml"/><Relationship Id="rId7" Type="http://schemas.openxmlformats.org/officeDocument/2006/relationships/hyperlink" Target="mailto:Info@company.com" TargetMode="External"/><Relationship Id="rId12" Type="http://schemas.openxmlformats.org/officeDocument/2006/relationships/hyperlink" Target="mailto:info@info.com" TargetMode="External"/><Relationship Id="rId17" Type="http://schemas.openxmlformats.org/officeDocument/2006/relationships/hyperlink" Target="mailto:info@corel.com" TargetMode="External"/><Relationship Id="rId25" Type="http://schemas.openxmlformats.org/officeDocument/2006/relationships/image" Target="../media/image1.emf"/><Relationship Id="rId33" Type="http://schemas.openxmlformats.org/officeDocument/2006/relationships/image" Target="../media/image5.emf"/><Relationship Id="rId38" Type="http://schemas.openxmlformats.org/officeDocument/2006/relationships/table" Target="../tables/table1.xml"/><Relationship Id="rId2" Type="http://schemas.openxmlformats.org/officeDocument/2006/relationships/hyperlink" Target="mailto:Info.ALSOCroatia@also.com" TargetMode="External"/><Relationship Id="rId16" Type="http://schemas.openxmlformats.org/officeDocument/2006/relationships/hyperlink" Target="mailto:info@corel.com" TargetMode="External"/><Relationship Id="rId20" Type="http://schemas.openxmlformats.org/officeDocument/2006/relationships/hyperlink" Target="..\..\..\..\:f:\g\personal\darko_brajicic_studenac_onmicrosoft_com\Eiyt6_hxI6pAnKx8BPMrPJoBq5_OXZ5CSKRl7OUQ1HwGLQ?e=xv54vh" TargetMode="External"/><Relationship Id="rId29" Type="http://schemas.openxmlformats.org/officeDocument/2006/relationships/image" Target="../media/image3.emf"/><Relationship Id="rId41" Type="http://schemas.microsoft.com/office/2017/10/relationships/threadedComment" Target="../threadedComments/threadedComment1.xml"/><Relationship Id="rId1" Type="http://schemas.openxmlformats.org/officeDocument/2006/relationships/hyperlink" Target="mailto:info@info.ie" TargetMode="External"/><Relationship Id="rId6" Type="http://schemas.openxmlformats.org/officeDocument/2006/relationships/hyperlink" Target="mailto:nod32@eset.com" TargetMode="External"/><Relationship Id="rId11" Type="http://schemas.openxmlformats.org/officeDocument/2006/relationships/hyperlink" Target="mailto:info@info.com" TargetMode="External"/><Relationship Id="rId24" Type="http://schemas.openxmlformats.org/officeDocument/2006/relationships/control" Target="../activeX/activeX1.xml"/><Relationship Id="rId32" Type="http://schemas.openxmlformats.org/officeDocument/2006/relationships/control" Target="../activeX/activeX5.xml"/><Relationship Id="rId37" Type="http://schemas.openxmlformats.org/officeDocument/2006/relationships/image" Target="../media/image7.emf"/><Relationship Id="rId5" Type="http://schemas.openxmlformats.org/officeDocument/2006/relationships/hyperlink" Target="..\..\..\..\:f:\g\personal\darko_brajicic_studenac_onmicrosoft_com\Eiyt6_hxI6pAnKx8BPMrPJoBq5_OXZ5CSKRl7OUQ1HwGLQ?e=xv54vh" TargetMode="External"/><Relationship Id="rId15" Type="http://schemas.openxmlformats.org/officeDocument/2006/relationships/hyperlink" Target="mailto:info@google.com" TargetMode="External"/><Relationship Id="rId23" Type="http://schemas.openxmlformats.org/officeDocument/2006/relationships/vmlDrawing" Target="../drawings/vmlDrawing1.vml"/><Relationship Id="rId28" Type="http://schemas.openxmlformats.org/officeDocument/2006/relationships/control" Target="../activeX/activeX3.xml"/><Relationship Id="rId36" Type="http://schemas.openxmlformats.org/officeDocument/2006/relationships/control" Target="../activeX/activeX7.xml"/><Relationship Id="rId10" Type="http://schemas.openxmlformats.org/officeDocument/2006/relationships/hyperlink" Target="mailto:Info@company.com" TargetMode="External"/><Relationship Id="rId19" Type="http://schemas.openxmlformats.org/officeDocument/2006/relationships/hyperlink" Target="http://www.intel.com/" TargetMode="External"/><Relationship Id="rId31" Type="http://schemas.openxmlformats.org/officeDocument/2006/relationships/image" Target="../media/image4.emf"/><Relationship Id="rId4" Type="http://schemas.openxmlformats.org/officeDocument/2006/relationships/hyperlink" Target="mailto:sales@company.com" TargetMode="External"/><Relationship Id="rId9" Type="http://schemas.openxmlformats.org/officeDocument/2006/relationships/hyperlink" Target="mailto:Info@company.com" TargetMode="External"/><Relationship Id="rId14" Type="http://schemas.openxmlformats.org/officeDocument/2006/relationships/hyperlink" Target="mailto:Info@company.com" TargetMode="External"/><Relationship Id="rId22" Type="http://schemas.openxmlformats.org/officeDocument/2006/relationships/drawing" Target="../drawings/drawing1.xml"/><Relationship Id="rId27" Type="http://schemas.openxmlformats.org/officeDocument/2006/relationships/image" Target="../media/image2.emf"/><Relationship Id="rId30" Type="http://schemas.openxmlformats.org/officeDocument/2006/relationships/control" Target="../activeX/activeX4.xml"/><Relationship Id="rId35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"/>
  <sheetViews>
    <sheetView tabSelected="1" zoomScaleNormal="100" workbookViewId="0">
      <pane ySplit="9" topLeftCell="A10" activePane="bottomLeft" state="frozen"/>
      <selection pane="bottomLeft" activeCell="D10" sqref="D10:D12"/>
    </sheetView>
  </sheetViews>
  <sheetFormatPr defaultColWidth="8.6640625" defaultRowHeight="14.4" x14ac:dyDescent="0.3"/>
  <cols>
    <col min="1" max="1" width="11.33203125" bestFit="1" customWidth="1"/>
    <col min="2" max="2" width="11.6640625" customWidth="1"/>
    <col min="3" max="3" width="33.6640625" bestFit="1" customWidth="1"/>
    <col min="4" max="4" width="17.6640625" customWidth="1"/>
    <col min="5" max="5" width="15.6640625" customWidth="1"/>
    <col min="6" max="6" width="21.6640625" customWidth="1"/>
    <col min="7" max="7" width="16.109375" bestFit="1" customWidth="1"/>
    <col min="8" max="8" width="10.109375" bestFit="1" customWidth="1"/>
    <col min="9" max="9" width="16.5546875" bestFit="1" customWidth="1"/>
    <col min="10" max="10" width="11" customWidth="1"/>
    <col min="11" max="11" width="15.6640625" customWidth="1"/>
    <col min="13" max="13" width="10.33203125" customWidth="1"/>
    <col min="15" max="15" width="15.6640625" customWidth="1"/>
  </cols>
  <sheetData>
    <row r="1" spans="1:13" ht="30" customHeight="1" x14ac:dyDescent="0.3">
      <c r="A1" s="39" t="s">
        <v>48</v>
      </c>
      <c r="B1" s="40"/>
      <c r="C1" s="41"/>
      <c r="D1" s="37" t="s">
        <v>0</v>
      </c>
      <c r="E1" s="38"/>
    </row>
    <row r="2" spans="1:13" ht="15" customHeight="1" x14ac:dyDescent="0.3">
      <c r="A2" s="42"/>
      <c r="B2" s="43"/>
      <c r="C2" s="44"/>
      <c r="D2" s="35" t="s">
        <v>55</v>
      </c>
      <c r="E2" s="36"/>
    </row>
    <row r="3" spans="1:13" ht="15" customHeight="1" x14ac:dyDescent="0.3">
      <c r="A3" s="42"/>
      <c r="B3" s="43"/>
      <c r="C3" s="44"/>
      <c r="D3" s="33" t="s">
        <v>1</v>
      </c>
      <c r="E3" s="34"/>
    </row>
    <row r="4" spans="1:13" ht="26.25" customHeight="1" x14ac:dyDescent="0.3">
      <c r="A4" s="45"/>
      <c r="B4" s="46"/>
      <c r="C4" s="47"/>
      <c r="D4" s="31">
        <v>2024</v>
      </c>
      <c r="E4" s="32"/>
      <c r="K4" s="14"/>
      <c r="L4" s="14"/>
    </row>
    <row r="5" spans="1:13" ht="15.75" customHeight="1" x14ac:dyDescent="0.3"/>
    <row r="6" spans="1:13" ht="15.75" customHeight="1" x14ac:dyDescent="0.3"/>
    <row r="9" spans="1:13" s="3" customFormat="1" ht="28.8" x14ac:dyDescent="0.3">
      <c r="A9" s="26" t="s">
        <v>10</v>
      </c>
      <c r="B9" s="26" t="s">
        <v>11</v>
      </c>
      <c r="C9" s="26" t="s">
        <v>23</v>
      </c>
      <c r="D9" s="26" t="s">
        <v>20</v>
      </c>
      <c r="E9" s="26" t="s">
        <v>18</v>
      </c>
      <c r="F9" s="26" t="s">
        <v>9</v>
      </c>
      <c r="G9" s="26" t="s">
        <v>47</v>
      </c>
      <c r="H9" s="26" t="s">
        <v>39</v>
      </c>
      <c r="I9" s="26" t="s">
        <v>40</v>
      </c>
      <c r="J9" s="26" t="s">
        <v>21</v>
      </c>
      <c r="K9" s="26" t="s">
        <v>19</v>
      </c>
      <c r="L9" s="15" t="s">
        <v>41</v>
      </c>
      <c r="M9" s="15" t="s">
        <v>22</v>
      </c>
    </row>
    <row r="10" spans="1:13" x14ac:dyDescent="0.3">
      <c r="A10" s="16" t="s">
        <v>33</v>
      </c>
      <c r="B10" s="17">
        <v>45292</v>
      </c>
      <c r="C10" s="18" t="s">
        <v>57</v>
      </c>
      <c r="D10" s="19" t="s">
        <v>111</v>
      </c>
      <c r="E10" s="18" t="s">
        <v>65</v>
      </c>
      <c r="F10" s="22" t="s">
        <v>60</v>
      </c>
      <c r="G10" s="24" t="s">
        <v>34</v>
      </c>
      <c r="H10" s="19">
        <v>2</v>
      </c>
      <c r="I10" s="19">
        <v>2</v>
      </c>
      <c r="J10" s="19">
        <v>1</v>
      </c>
      <c r="K10" s="17">
        <f t="shared" ref="K10:K36" si="0">DATE(YEAR(B10)+INT(J10), MONTH(B10)+(J10-TRUNC(J10))*12, DAY(B10))</f>
        <v>45658</v>
      </c>
      <c r="L10" s="23" t="s">
        <v>42</v>
      </c>
      <c r="M10" s="27">
        <f t="shared" ref="M10:M36" ca="1" si="1">K10-TODAY()</f>
        <v>342</v>
      </c>
    </row>
    <row r="11" spans="1:13" x14ac:dyDescent="0.3">
      <c r="A11" s="16" t="s">
        <v>33</v>
      </c>
      <c r="B11" s="17">
        <v>45293</v>
      </c>
      <c r="C11" s="18" t="s">
        <v>58</v>
      </c>
      <c r="D11" s="19" t="s">
        <v>111</v>
      </c>
      <c r="E11" s="18" t="s">
        <v>65</v>
      </c>
      <c r="F11" s="22" t="s">
        <v>60</v>
      </c>
      <c r="G11" s="24" t="s">
        <v>35</v>
      </c>
      <c r="H11" s="19">
        <v>9</v>
      </c>
      <c r="I11" s="19">
        <v>9</v>
      </c>
      <c r="J11" s="19">
        <v>1</v>
      </c>
      <c r="K11" s="17">
        <f t="shared" si="0"/>
        <v>45659</v>
      </c>
      <c r="L11" s="23" t="s">
        <v>42</v>
      </c>
      <c r="M11" s="27">
        <f t="shared" ca="1" si="1"/>
        <v>343</v>
      </c>
    </row>
    <row r="12" spans="1:13" x14ac:dyDescent="0.3">
      <c r="A12" s="16" t="s">
        <v>33</v>
      </c>
      <c r="B12" s="17">
        <v>45294</v>
      </c>
      <c r="C12" s="18" t="s">
        <v>59</v>
      </c>
      <c r="D12" s="19" t="s">
        <v>111</v>
      </c>
      <c r="E12" s="18" t="s">
        <v>65</v>
      </c>
      <c r="F12" s="22" t="s">
        <v>60</v>
      </c>
      <c r="G12" s="24" t="s">
        <v>36</v>
      </c>
      <c r="H12" s="19">
        <v>4</v>
      </c>
      <c r="I12" s="19">
        <v>4</v>
      </c>
      <c r="J12" s="19">
        <v>1</v>
      </c>
      <c r="K12" s="17">
        <f t="shared" si="0"/>
        <v>45660</v>
      </c>
      <c r="L12" s="23" t="s">
        <v>42</v>
      </c>
      <c r="M12" s="27">
        <f t="shared" ca="1" si="1"/>
        <v>344</v>
      </c>
    </row>
    <row r="13" spans="1:13" x14ac:dyDescent="0.3">
      <c r="A13" s="16" t="s">
        <v>49</v>
      </c>
      <c r="B13" s="17">
        <v>45295</v>
      </c>
      <c r="C13" s="19" t="s">
        <v>50</v>
      </c>
      <c r="D13" s="19">
        <v>12235646</v>
      </c>
      <c r="E13" s="49">
        <v>654987</v>
      </c>
      <c r="F13" s="48" t="s">
        <v>61</v>
      </c>
      <c r="G13" s="24" t="s">
        <v>84</v>
      </c>
      <c r="H13" s="19">
        <v>10</v>
      </c>
      <c r="I13" s="19">
        <v>10</v>
      </c>
      <c r="J13" s="19">
        <v>1</v>
      </c>
      <c r="K13" s="17">
        <f t="shared" si="0"/>
        <v>45661</v>
      </c>
      <c r="L13" s="23" t="s">
        <v>42</v>
      </c>
      <c r="M13" s="27">
        <f t="shared" ca="1" si="1"/>
        <v>345</v>
      </c>
    </row>
    <row r="14" spans="1:13" x14ac:dyDescent="0.3">
      <c r="A14" s="16" t="s">
        <v>49</v>
      </c>
      <c r="B14" s="17">
        <v>45296</v>
      </c>
      <c r="C14" s="18" t="s">
        <v>51</v>
      </c>
      <c r="D14" s="19">
        <v>12235647</v>
      </c>
      <c r="E14" s="49">
        <v>654987</v>
      </c>
      <c r="F14" s="48" t="s">
        <v>61</v>
      </c>
      <c r="G14" s="24" t="s">
        <v>85</v>
      </c>
      <c r="H14" s="25">
        <v>1</v>
      </c>
      <c r="I14" s="25">
        <v>1</v>
      </c>
      <c r="J14" s="19">
        <v>1</v>
      </c>
      <c r="K14" s="17">
        <f t="shared" si="0"/>
        <v>45662</v>
      </c>
      <c r="L14" s="23" t="s">
        <v>42</v>
      </c>
      <c r="M14" s="27">
        <f t="shared" ca="1" si="1"/>
        <v>346</v>
      </c>
    </row>
    <row r="15" spans="1:13" x14ac:dyDescent="0.3">
      <c r="A15" s="16" t="s">
        <v>30</v>
      </c>
      <c r="B15" s="17">
        <v>45297</v>
      </c>
      <c r="C15" s="19" t="s">
        <v>28</v>
      </c>
      <c r="D15" s="19">
        <v>12235648</v>
      </c>
      <c r="E15" s="18">
        <v>64645646</v>
      </c>
      <c r="F15" s="30" t="s">
        <v>56</v>
      </c>
      <c r="G15" s="24" t="s">
        <v>86</v>
      </c>
      <c r="H15" s="19">
        <v>300</v>
      </c>
      <c r="I15" s="19">
        <v>300</v>
      </c>
      <c r="J15" s="19">
        <v>1</v>
      </c>
      <c r="K15" s="17">
        <f t="shared" si="0"/>
        <v>45663</v>
      </c>
      <c r="L15" s="23" t="s">
        <v>42</v>
      </c>
      <c r="M15" s="27">
        <f t="shared" ca="1" si="1"/>
        <v>347</v>
      </c>
    </row>
    <row r="16" spans="1:13" x14ac:dyDescent="0.3">
      <c r="A16" s="16" t="s">
        <v>30</v>
      </c>
      <c r="B16" s="17">
        <v>45298</v>
      </c>
      <c r="C16" s="25" t="s">
        <v>29</v>
      </c>
      <c r="D16" s="19">
        <v>12235649</v>
      </c>
      <c r="E16" s="19">
        <v>97897987</v>
      </c>
      <c r="F16" s="30" t="s">
        <v>56</v>
      </c>
      <c r="G16" s="24" t="s">
        <v>87</v>
      </c>
      <c r="H16" s="19">
        <v>106</v>
      </c>
      <c r="I16" s="19">
        <v>96</v>
      </c>
      <c r="J16" s="19">
        <v>1</v>
      </c>
      <c r="K16" s="17">
        <f t="shared" si="0"/>
        <v>45664</v>
      </c>
      <c r="L16" s="23" t="s">
        <v>42</v>
      </c>
      <c r="M16" s="27">
        <f t="shared" ca="1" si="1"/>
        <v>348</v>
      </c>
    </row>
    <row r="17" spans="1:13" x14ac:dyDescent="0.3">
      <c r="A17" s="16" t="s">
        <v>30</v>
      </c>
      <c r="B17" s="17">
        <v>45299</v>
      </c>
      <c r="C17" s="25" t="s">
        <v>54</v>
      </c>
      <c r="D17" s="19">
        <v>12235650</v>
      </c>
      <c r="E17" s="18"/>
      <c r="F17" s="30" t="s">
        <v>56</v>
      </c>
      <c r="G17" s="24" t="s">
        <v>88</v>
      </c>
      <c r="H17" s="19">
        <v>2</v>
      </c>
      <c r="I17" s="19">
        <v>2</v>
      </c>
      <c r="J17" s="19">
        <v>1</v>
      </c>
      <c r="K17" s="17">
        <f t="shared" si="0"/>
        <v>45665</v>
      </c>
      <c r="L17" s="23" t="s">
        <v>42</v>
      </c>
      <c r="M17" s="27">
        <f t="shared" ca="1" si="1"/>
        <v>349</v>
      </c>
    </row>
    <row r="18" spans="1:13" x14ac:dyDescent="0.3">
      <c r="A18" s="16" t="s">
        <v>25</v>
      </c>
      <c r="B18" s="17">
        <v>44964</v>
      </c>
      <c r="C18" s="19" t="s">
        <v>24</v>
      </c>
      <c r="D18" s="21">
        <v>110003216547</v>
      </c>
      <c r="E18" s="19" t="s">
        <v>78</v>
      </c>
      <c r="F18" s="22" t="s">
        <v>62</v>
      </c>
      <c r="G18" s="24" t="s">
        <v>89</v>
      </c>
      <c r="H18" s="19">
        <v>1</v>
      </c>
      <c r="I18" s="19">
        <v>1</v>
      </c>
      <c r="J18" s="19">
        <v>1</v>
      </c>
      <c r="K18" s="17">
        <f t="shared" si="0"/>
        <v>45329</v>
      </c>
      <c r="L18" s="23" t="s">
        <v>42</v>
      </c>
      <c r="M18" s="27">
        <f t="shared" ca="1" si="1"/>
        <v>13</v>
      </c>
    </row>
    <row r="19" spans="1:13" x14ac:dyDescent="0.3">
      <c r="A19" s="16" t="s">
        <v>37</v>
      </c>
      <c r="B19" s="17">
        <v>44969</v>
      </c>
      <c r="C19" s="18" t="s">
        <v>38</v>
      </c>
      <c r="D19" s="19"/>
      <c r="E19" s="18" t="s">
        <v>73</v>
      </c>
      <c r="F19" s="48" t="s">
        <v>109</v>
      </c>
      <c r="G19" s="24" t="s">
        <v>90</v>
      </c>
      <c r="H19" s="19">
        <v>1</v>
      </c>
      <c r="I19" s="19">
        <v>1</v>
      </c>
      <c r="J19" s="19">
        <v>1</v>
      </c>
      <c r="K19" s="17">
        <f t="shared" si="0"/>
        <v>45334</v>
      </c>
      <c r="L19" s="23" t="s">
        <v>42</v>
      </c>
      <c r="M19" s="27">
        <f t="shared" ca="1" si="1"/>
        <v>18</v>
      </c>
    </row>
    <row r="20" spans="1:13" x14ac:dyDescent="0.3">
      <c r="A20" s="16" t="s">
        <v>8</v>
      </c>
      <c r="B20" s="17">
        <v>44974</v>
      </c>
      <c r="C20" s="19" t="s">
        <v>27</v>
      </c>
      <c r="D20" s="19"/>
      <c r="E20" s="19">
        <v>98765432134</v>
      </c>
      <c r="F20" s="22" t="s">
        <v>63</v>
      </c>
      <c r="G20" s="24" t="s">
        <v>91</v>
      </c>
      <c r="H20" s="19">
        <v>1000</v>
      </c>
      <c r="I20" s="19">
        <v>990</v>
      </c>
      <c r="J20" s="19">
        <v>1</v>
      </c>
      <c r="K20" s="17">
        <f t="shared" si="0"/>
        <v>45339</v>
      </c>
      <c r="L20" s="23" t="s">
        <v>42</v>
      </c>
      <c r="M20" s="27">
        <f t="shared" ca="1" si="1"/>
        <v>23</v>
      </c>
    </row>
    <row r="21" spans="1:13" x14ac:dyDescent="0.3">
      <c r="A21" s="16" t="s">
        <v>37</v>
      </c>
      <c r="B21" s="17">
        <v>44977</v>
      </c>
      <c r="C21" s="18" t="s">
        <v>38</v>
      </c>
      <c r="D21" s="19"/>
      <c r="E21" s="18" t="s">
        <v>74</v>
      </c>
      <c r="F21" s="48" t="s">
        <v>109</v>
      </c>
      <c r="G21" s="24" t="s">
        <v>92</v>
      </c>
      <c r="H21" s="19">
        <v>1</v>
      </c>
      <c r="I21" s="19">
        <v>1</v>
      </c>
      <c r="J21" s="19">
        <v>1</v>
      </c>
      <c r="K21" s="17">
        <f t="shared" si="0"/>
        <v>45342</v>
      </c>
      <c r="L21" s="23" t="s">
        <v>42</v>
      </c>
      <c r="M21" s="27">
        <f t="shared" ca="1" si="1"/>
        <v>26</v>
      </c>
    </row>
    <row r="22" spans="1:13" x14ac:dyDescent="0.3">
      <c r="A22" s="16" t="s">
        <v>25</v>
      </c>
      <c r="B22" s="17">
        <v>45044</v>
      </c>
      <c r="C22" s="19" t="s">
        <v>24</v>
      </c>
      <c r="D22" s="21">
        <v>110003216548</v>
      </c>
      <c r="E22" s="19" t="s">
        <v>66</v>
      </c>
      <c r="F22" s="22" t="s">
        <v>62</v>
      </c>
      <c r="G22" s="24" t="s">
        <v>93</v>
      </c>
      <c r="H22" s="19">
        <v>1</v>
      </c>
      <c r="I22" s="19">
        <v>1</v>
      </c>
      <c r="J22" s="19">
        <v>1</v>
      </c>
      <c r="K22" s="17">
        <f t="shared" si="0"/>
        <v>45410</v>
      </c>
      <c r="L22" s="23" t="s">
        <v>42</v>
      </c>
      <c r="M22" s="27">
        <f t="shared" ca="1" si="1"/>
        <v>94</v>
      </c>
    </row>
    <row r="23" spans="1:13" x14ac:dyDescent="0.3">
      <c r="A23" s="16" t="s">
        <v>25</v>
      </c>
      <c r="B23" s="17">
        <v>45118</v>
      </c>
      <c r="C23" s="19" t="s">
        <v>24</v>
      </c>
      <c r="D23" s="21">
        <v>110003216549</v>
      </c>
      <c r="E23" s="19" t="s">
        <v>67</v>
      </c>
      <c r="F23" s="22" t="s">
        <v>62</v>
      </c>
      <c r="G23" s="24" t="s">
        <v>94</v>
      </c>
      <c r="H23" s="19">
        <v>1</v>
      </c>
      <c r="I23" s="19">
        <v>1</v>
      </c>
      <c r="J23" s="19">
        <v>1</v>
      </c>
      <c r="K23" s="17">
        <f t="shared" si="0"/>
        <v>45484</v>
      </c>
      <c r="L23" s="23" t="s">
        <v>42</v>
      </c>
      <c r="M23" s="27">
        <f t="shared" ca="1" si="1"/>
        <v>168</v>
      </c>
    </row>
    <row r="24" spans="1:13" x14ac:dyDescent="0.3">
      <c r="A24" s="16" t="s">
        <v>25</v>
      </c>
      <c r="B24" s="17">
        <v>45119</v>
      </c>
      <c r="C24" s="19" t="s">
        <v>24</v>
      </c>
      <c r="D24" s="21">
        <v>110003216550</v>
      </c>
      <c r="E24" s="19" t="s">
        <v>68</v>
      </c>
      <c r="F24" s="22" t="s">
        <v>62</v>
      </c>
      <c r="G24" s="24" t="s">
        <v>95</v>
      </c>
      <c r="H24" s="19">
        <v>1</v>
      </c>
      <c r="I24" s="19">
        <v>1</v>
      </c>
      <c r="J24" s="19">
        <v>1</v>
      </c>
      <c r="K24" s="17">
        <f t="shared" si="0"/>
        <v>45485</v>
      </c>
      <c r="L24" s="23" t="s">
        <v>42</v>
      </c>
      <c r="M24" s="27">
        <f t="shared" ca="1" si="1"/>
        <v>169</v>
      </c>
    </row>
    <row r="25" spans="1:13" x14ac:dyDescent="0.3">
      <c r="A25" s="16" t="s">
        <v>25</v>
      </c>
      <c r="B25" s="17">
        <v>45178</v>
      </c>
      <c r="C25" s="19" t="s">
        <v>24</v>
      </c>
      <c r="D25" s="21">
        <v>110003216551</v>
      </c>
      <c r="E25" s="19" t="s">
        <v>69</v>
      </c>
      <c r="F25" s="22" t="s">
        <v>62</v>
      </c>
      <c r="G25" s="24" t="s">
        <v>96</v>
      </c>
      <c r="H25" s="19">
        <v>1</v>
      </c>
      <c r="I25" s="19">
        <v>1</v>
      </c>
      <c r="J25" s="19">
        <v>1</v>
      </c>
      <c r="K25" s="17">
        <f t="shared" si="0"/>
        <v>45544</v>
      </c>
      <c r="L25" s="23" t="s">
        <v>42</v>
      </c>
      <c r="M25" s="27">
        <f t="shared" ca="1" si="1"/>
        <v>228</v>
      </c>
    </row>
    <row r="26" spans="1:13" x14ac:dyDescent="0.3">
      <c r="A26" s="16" t="s">
        <v>25</v>
      </c>
      <c r="B26" s="17">
        <v>45190</v>
      </c>
      <c r="C26" s="19" t="s">
        <v>24</v>
      </c>
      <c r="D26" s="21">
        <v>110003216552</v>
      </c>
      <c r="E26" s="19" t="s">
        <v>70</v>
      </c>
      <c r="F26" s="22" t="s">
        <v>62</v>
      </c>
      <c r="G26" s="24" t="s">
        <v>97</v>
      </c>
      <c r="H26" s="19">
        <v>1</v>
      </c>
      <c r="I26" s="19">
        <v>1</v>
      </c>
      <c r="J26" s="19">
        <v>1</v>
      </c>
      <c r="K26" s="17">
        <f t="shared" si="0"/>
        <v>45556</v>
      </c>
      <c r="L26" s="23" t="s">
        <v>42</v>
      </c>
      <c r="M26" s="27">
        <f t="shared" ca="1" si="1"/>
        <v>240</v>
      </c>
    </row>
    <row r="27" spans="1:13" x14ac:dyDescent="0.3">
      <c r="A27" s="16" t="s">
        <v>25</v>
      </c>
      <c r="B27" s="17">
        <v>45220</v>
      </c>
      <c r="C27" s="19" t="s">
        <v>24</v>
      </c>
      <c r="D27" s="21">
        <v>110003216553</v>
      </c>
      <c r="E27" s="19" t="s">
        <v>71</v>
      </c>
      <c r="F27" s="22" t="s">
        <v>62</v>
      </c>
      <c r="G27" s="24" t="s">
        <v>98</v>
      </c>
      <c r="H27" s="19">
        <v>2</v>
      </c>
      <c r="I27" s="19">
        <v>2</v>
      </c>
      <c r="J27" s="19">
        <v>1</v>
      </c>
      <c r="K27" s="17">
        <f t="shared" si="0"/>
        <v>45586</v>
      </c>
      <c r="L27" s="23" t="s">
        <v>42</v>
      </c>
      <c r="M27" s="27">
        <f t="shared" ca="1" si="1"/>
        <v>270</v>
      </c>
    </row>
    <row r="28" spans="1:13" x14ac:dyDescent="0.3">
      <c r="A28" s="16" t="s">
        <v>43</v>
      </c>
      <c r="B28" s="17">
        <v>45236</v>
      </c>
      <c r="C28" s="18" t="s">
        <v>44</v>
      </c>
      <c r="D28" s="19">
        <v>123456</v>
      </c>
      <c r="E28" s="19" t="s">
        <v>72</v>
      </c>
      <c r="F28" s="20" t="s">
        <v>64</v>
      </c>
      <c r="G28" s="24" t="s">
        <v>99</v>
      </c>
      <c r="H28" s="19">
        <v>870</v>
      </c>
      <c r="I28" s="19">
        <v>1888</v>
      </c>
      <c r="J28" s="19">
        <v>1</v>
      </c>
      <c r="K28" s="17">
        <f t="shared" si="0"/>
        <v>45602</v>
      </c>
      <c r="L28" s="23" t="s">
        <v>42</v>
      </c>
      <c r="M28" s="27">
        <f t="shared" ca="1" si="1"/>
        <v>286</v>
      </c>
    </row>
    <row r="29" spans="1:13" x14ac:dyDescent="0.3">
      <c r="A29" s="16" t="s">
        <v>37</v>
      </c>
      <c r="B29" s="17">
        <v>45268</v>
      </c>
      <c r="C29" s="18" t="s">
        <v>38</v>
      </c>
      <c r="D29" s="19"/>
      <c r="E29" s="18" t="s">
        <v>75</v>
      </c>
      <c r="F29" s="48" t="s">
        <v>109</v>
      </c>
      <c r="G29" s="24" t="s">
        <v>100</v>
      </c>
      <c r="H29" s="19">
        <v>1</v>
      </c>
      <c r="I29" s="19">
        <v>1</v>
      </c>
      <c r="J29" s="19">
        <v>1</v>
      </c>
      <c r="K29" s="17">
        <f t="shared" si="0"/>
        <v>45634</v>
      </c>
      <c r="L29" s="23" t="s">
        <v>42</v>
      </c>
      <c r="M29" s="27">
        <f t="shared" ca="1" si="1"/>
        <v>318</v>
      </c>
    </row>
    <row r="30" spans="1:13" x14ac:dyDescent="0.3">
      <c r="A30" s="16" t="s">
        <v>25</v>
      </c>
      <c r="B30" s="17">
        <v>45280</v>
      </c>
      <c r="C30" s="19" t="s">
        <v>24</v>
      </c>
      <c r="D30" s="21">
        <v>110004235072</v>
      </c>
      <c r="E30" s="19" t="s">
        <v>76</v>
      </c>
      <c r="F30" s="22" t="s">
        <v>26</v>
      </c>
      <c r="G30" s="24" t="s">
        <v>101</v>
      </c>
      <c r="H30" s="19">
        <v>1</v>
      </c>
      <c r="I30" s="19">
        <v>1</v>
      </c>
      <c r="J30" s="19">
        <v>1</v>
      </c>
      <c r="K30" s="17">
        <f t="shared" si="0"/>
        <v>45646</v>
      </c>
      <c r="L30" s="23" t="s">
        <v>42</v>
      </c>
      <c r="M30" s="27">
        <f t="shared" ca="1" si="1"/>
        <v>330</v>
      </c>
    </row>
    <row r="31" spans="1:13" x14ac:dyDescent="0.3">
      <c r="A31" s="16" t="s">
        <v>25</v>
      </c>
      <c r="B31" s="17">
        <v>44580</v>
      </c>
      <c r="C31" s="19" t="s">
        <v>24</v>
      </c>
      <c r="D31" s="21">
        <v>110003869969</v>
      </c>
      <c r="E31" s="19" t="s">
        <v>77</v>
      </c>
      <c r="F31" s="22" t="s">
        <v>26</v>
      </c>
      <c r="G31" s="24" t="s">
        <v>102</v>
      </c>
      <c r="H31" s="19">
        <v>1</v>
      </c>
      <c r="I31" s="19">
        <v>1</v>
      </c>
      <c r="J31" s="19">
        <v>3</v>
      </c>
      <c r="K31" s="17">
        <f t="shared" si="0"/>
        <v>45676</v>
      </c>
      <c r="L31" s="23" t="s">
        <v>42</v>
      </c>
      <c r="M31" s="27">
        <f t="shared" ca="1" si="1"/>
        <v>360</v>
      </c>
    </row>
    <row r="32" spans="1:13" x14ac:dyDescent="0.3">
      <c r="A32" s="16" t="s">
        <v>45</v>
      </c>
      <c r="B32" s="17">
        <v>45015</v>
      </c>
      <c r="C32" s="19" t="s">
        <v>46</v>
      </c>
      <c r="D32" s="21">
        <v>110003869970</v>
      </c>
      <c r="E32" s="19" t="s">
        <v>79</v>
      </c>
      <c r="F32" s="48" t="s">
        <v>108</v>
      </c>
      <c r="G32" s="24" t="s">
        <v>103</v>
      </c>
      <c r="H32" s="19">
        <v>2021</v>
      </c>
      <c r="I32" s="19">
        <v>2019</v>
      </c>
      <c r="J32" s="19">
        <v>3</v>
      </c>
      <c r="K32" s="17">
        <f t="shared" si="0"/>
        <v>46111</v>
      </c>
      <c r="L32" s="23" t="s">
        <v>42</v>
      </c>
      <c r="M32" s="27">
        <f t="shared" ca="1" si="1"/>
        <v>795</v>
      </c>
    </row>
    <row r="33" spans="1:15" x14ac:dyDescent="0.3">
      <c r="A33" s="16" t="s">
        <v>30</v>
      </c>
      <c r="B33" s="17">
        <v>45016</v>
      </c>
      <c r="C33" s="25" t="s">
        <v>53</v>
      </c>
      <c r="D33" s="21">
        <v>110003869971</v>
      </c>
      <c r="E33" s="19" t="s">
        <v>80</v>
      </c>
      <c r="F33" s="30" t="s">
        <v>56</v>
      </c>
      <c r="G33" s="24" t="s">
        <v>104</v>
      </c>
      <c r="H33" s="19">
        <v>55</v>
      </c>
      <c r="I33" s="19">
        <v>55</v>
      </c>
      <c r="J33" s="19">
        <v>100</v>
      </c>
      <c r="K33" s="17">
        <f t="shared" si="0"/>
        <v>81540</v>
      </c>
      <c r="L33" s="23" t="s">
        <v>42</v>
      </c>
      <c r="M33" s="27">
        <f t="shared" ca="1" si="1"/>
        <v>36224</v>
      </c>
    </row>
    <row r="34" spans="1:15" x14ac:dyDescent="0.3">
      <c r="A34" s="19" t="s">
        <v>30</v>
      </c>
      <c r="B34" s="17">
        <v>45017</v>
      </c>
      <c r="C34" s="25" t="s">
        <v>52</v>
      </c>
      <c r="D34" s="21">
        <v>110003869972</v>
      </c>
      <c r="E34" s="19" t="s">
        <v>81</v>
      </c>
      <c r="F34" s="30" t="s">
        <v>56</v>
      </c>
      <c r="G34" s="24" t="s">
        <v>105</v>
      </c>
      <c r="H34" s="19">
        <v>2</v>
      </c>
      <c r="I34" s="19">
        <v>2</v>
      </c>
      <c r="J34" s="19">
        <v>100</v>
      </c>
      <c r="K34" s="17">
        <f t="shared" si="0"/>
        <v>81541</v>
      </c>
      <c r="L34" s="23" t="s">
        <v>42</v>
      </c>
      <c r="M34" s="27">
        <f t="shared" ca="1" si="1"/>
        <v>36225</v>
      </c>
    </row>
    <row r="35" spans="1:15" x14ac:dyDescent="0.3">
      <c r="A35" s="19" t="s">
        <v>30</v>
      </c>
      <c r="B35" s="17">
        <v>45018</v>
      </c>
      <c r="C35" s="19" t="s">
        <v>31</v>
      </c>
      <c r="D35" s="21">
        <v>110003869973</v>
      </c>
      <c r="E35" s="19" t="s">
        <v>82</v>
      </c>
      <c r="F35" s="30" t="s">
        <v>56</v>
      </c>
      <c r="G35" s="24" t="s">
        <v>106</v>
      </c>
      <c r="H35" s="19">
        <v>999984</v>
      </c>
      <c r="I35" s="19">
        <v>95</v>
      </c>
      <c r="J35" s="19">
        <v>100</v>
      </c>
      <c r="K35" s="17">
        <f t="shared" si="0"/>
        <v>81542</v>
      </c>
      <c r="L35" s="23" t="s">
        <v>42</v>
      </c>
      <c r="M35" s="27">
        <f t="shared" ca="1" si="1"/>
        <v>36226</v>
      </c>
    </row>
    <row r="36" spans="1:15" x14ac:dyDescent="0.3">
      <c r="A36" s="28" t="s">
        <v>30</v>
      </c>
      <c r="B36" s="17">
        <v>45019</v>
      </c>
      <c r="C36" s="29" t="s">
        <v>32</v>
      </c>
      <c r="D36" s="21">
        <v>110003869974</v>
      </c>
      <c r="E36" s="19" t="s">
        <v>83</v>
      </c>
      <c r="F36" s="30" t="s">
        <v>56</v>
      </c>
      <c r="G36" s="24" t="s">
        <v>107</v>
      </c>
      <c r="H36" s="29">
        <v>9980</v>
      </c>
      <c r="I36" s="29">
        <v>97</v>
      </c>
      <c r="J36" s="19">
        <v>100</v>
      </c>
      <c r="K36" s="17">
        <f t="shared" si="0"/>
        <v>81543</v>
      </c>
      <c r="L36" s="23" t="s">
        <v>42</v>
      </c>
      <c r="M36" s="27">
        <f t="shared" ca="1" si="1"/>
        <v>36227</v>
      </c>
      <c r="O36" s="1"/>
    </row>
  </sheetData>
  <mergeCells count="5">
    <mergeCell ref="D4:E4"/>
    <mergeCell ref="D3:E3"/>
    <mergeCell ref="D2:E2"/>
    <mergeCell ref="D1:E1"/>
    <mergeCell ref="A1:C4"/>
  </mergeCells>
  <phoneticPr fontId="5" type="noConversion"/>
  <conditionalFormatting sqref="O36 K10:L10 K23:K36 K11:K20 L11:L36">
    <cfRule type="cellIs" dxfId="18" priority="4" operator="between">
      <formula>TODAY()</formula>
      <formula>TODAY() + 31</formula>
    </cfRule>
  </conditionalFormatting>
  <hyperlinks>
    <hyperlink ref="F20" r:id="rId1" xr:uid="{00000000-0004-0000-0000-000000000000}"/>
    <hyperlink ref="F20:F21" r:id="rId2" display="Info.ALSOCroatia@also.com" xr:uid="{179397F2-2E1E-49BF-97E7-FA8A29AADCC8}"/>
    <hyperlink ref="F36" r:id="rId3" xr:uid="{D601F128-2372-40D1-AC86-EAE27BEBBE1A}"/>
    <hyperlink ref="F10" r:id="rId4" xr:uid="{EF9D178D-D5EC-449F-A23D-7F3F443FCF38}"/>
    <hyperlink ref="L10:L11" r:id="rId5" display="link" xr:uid="{3B1083AE-1E75-4FA8-89DD-7FBF99EB85C1}"/>
    <hyperlink ref="F28" r:id="rId6" xr:uid="{AD9CF130-B396-4661-9BC6-06CE17C2F9DA}"/>
    <hyperlink ref="F33:F35" r:id="rId7" display="Info@company.com" xr:uid="{EEB3C679-41A2-4981-9953-C6E27FDD271A}"/>
    <hyperlink ref="F11:F12" r:id="rId8" display="sales@company.com" xr:uid="{CFA68818-50E3-4A09-BBBA-871D71D4943B}"/>
    <hyperlink ref="F15" r:id="rId9" xr:uid="{08D12373-AE86-403D-8508-EE3BE3C92773}"/>
    <hyperlink ref="F16" r:id="rId10" xr:uid="{FE970B8D-FCD5-44BC-B812-7A3F1F384DBC}"/>
    <hyperlink ref="F13" r:id="rId11" xr:uid="{B3796F69-70ED-4A78-AE45-8D8E8B5F9D38}"/>
    <hyperlink ref="F14" r:id="rId12" xr:uid="{699E72A5-920C-426F-AFB6-304B995A531E}"/>
    <hyperlink ref="F18" r:id="rId13" xr:uid="{D5968673-354F-4EA1-8EB1-035A5A94F00C}"/>
    <hyperlink ref="F17" r:id="rId14" xr:uid="{965466D4-6D50-4510-BED2-A45644CEFC96}"/>
    <hyperlink ref="F32" r:id="rId15" xr:uid="{B9189A1D-0EAB-4D57-A13D-82DD7B6D47C6}"/>
    <hyperlink ref="F29" r:id="rId16" xr:uid="{DD11DF1F-3EDF-46CC-BD0B-1CA84D835C73}"/>
    <hyperlink ref="F21" r:id="rId17" xr:uid="{BA745252-0FB4-426B-B337-23BC87D02D99}"/>
    <hyperlink ref="F19" r:id="rId18" xr:uid="{BE2720D1-7F48-44EF-837A-70A2F87C9E41}"/>
    <hyperlink ref="L10" r:id="rId19" xr:uid="{4DB43739-66D6-401F-AE76-890EE977C3E8}"/>
    <hyperlink ref="L11:L36" r:id="rId20" display="link" xr:uid="{A4BF3539-F8E6-43E3-ABB0-EE4889E825AE}"/>
  </hyperlinks>
  <pageMargins left="0.7" right="0.7" top="0.75" bottom="0.75" header="0.3" footer="0.3"/>
  <pageSetup orientation="landscape" r:id="rId21"/>
  <drawing r:id="rId22"/>
  <legacyDrawing r:id="rId23"/>
  <controls>
    <mc:AlternateContent xmlns:mc="http://schemas.openxmlformats.org/markup-compatibility/2006">
      <mc:Choice Requires="x14">
        <control shapeId="1039" r:id="rId24" name="CommandButton6">
          <controlPr defaultSize="0" autoFill="0" autoLine="0" r:id="rId25">
            <anchor moveWithCells="1">
              <from>
                <xdr:col>3</xdr:col>
                <xdr:colOff>685800</xdr:colOff>
                <xdr:row>6</xdr:row>
                <xdr:rowOff>7620</xdr:rowOff>
              </from>
              <to>
                <xdr:col>4</xdr:col>
                <xdr:colOff>251460</xdr:colOff>
                <xdr:row>7</xdr:row>
                <xdr:rowOff>152400</xdr:rowOff>
              </to>
            </anchor>
          </controlPr>
        </control>
      </mc:Choice>
      <mc:Fallback>
        <control shapeId="1039" r:id="rId24" name="CommandButton6"/>
      </mc:Fallback>
    </mc:AlternateContent>
    <mc:AlternateContent xmlns:mc="http://schemas.openxmlformats.org/markup-compatibility/2006">
      <mc:Choice Requires="x14">
        <control shapeId="1038" r:id="rId26" name="CommandButton5">
          <controlPr defaultSize="0" autoFill="0" autoLine="0" r:id="rId27">
            <anchor moveWithCells="1">
              <from>
                <xdr:col>2</xdr:col>
                <xdr:colOff>2232660</xdr:colOff>
                <xdr:row>6</xdr:row>
                <xdr:rowOff>7620</xdr:rowOff>
              </from>
              <to>
                <xdr:col>3</xdr:col>
                <xdr:colOff>685800</xdr:colOff>
                <xdr:row>7</xdr:row>
                <xdr:rowOff>152400</xdr:rowOff>
              </to>
            </anchor>
          </controlPr>
        </control>
      </mc:Choice>
      <mc:Fallback>
        <control shapeId="1038" r:id="rId26" name="CommandButton5"/>
      </mc:Fallback>
    </mc:AlternateContent>
    <mc:AlternateContent xmlns:mc="http://schemas.openxmlformats.org/markup-compatibility/2006">
      <mc:Choice Requires="x14">
        <control shapeId="1037" r:id="rId28" name="CommandButton4">
          <controlPr defaultSize="0" autoFill="0" autoLine="0" r:id="rId29">
            <anchor moveWithCells="1">
              <from>
                <xdr:col>2</xdr:col>
                <xdr:colOff>1470660</xdr:colOff>
                <xdr:row>6</xdr:row>
                <xdr:rowOff>7620</xdr:rowOff>
              </from>
              <to>
                <xdr:col>2</xdr:col>
                <xdr:colOff>2232660</xdr:colOff>
                <xdr:row>7</xdr:row>
                <xdr:rowOff>152400</xdr:rowOff>
              </to>
            </anchor>
          </controlPr>
        </control>
      </mc:Choice>
      <mc:Fallback>
        <control shapeId="1037" r:id="rId28" name="CommandButton4"/>
      </mc:Fallback>
    </mc:AlternateContent>
    <mc:AlternateContent xmlns:mc="http://schemas.openxmlformats.org/markup-compatibility/2006">
      <mc:Choice Requires="x14">
        <control shapeId="1036" r:id="rId30" name="CommandButton3">
          <controlPr defaultSize="0" autoFill="0" autoLine="0" r:id="rId31">
            <anchor moveWithCells="1">
              <from>
                <xdr:col>2</xdr:col>
                <xdr:colOff>708660</xdr:colOff>
                <xdr:row>6</xdr:row>
                <xdr:rowOff>7620</xdr:rowOff>
              </from>
              <to>
                <xdr:col>2</xdr:col>
                <xdr:colOff>1470660</xdr:colOff>
                <xdr:row>7</xdr:row>
                <xdr:rowOff>152400</xdr:rowOff>
              </to>
            </anchor>
          </controlPr>
        </control>
      </mc:Choice>
      <mc:Fallback>
        <control shapeId="1036" r:id="rId30" name="CommandButton3"/>
      </mc:Fallback>
    </mc:AlternateContent>
    <mc:AlternateContent xmlns:mc="http://schemas.openxmlformats.org/markup-compatibility/2006">
      <mc:Choice Requires="x14">
        <control shapeId="1035" r:id="rId32" name="CommandButton2">
          <controlPr defaultSize="0" autoFill="0" autoLine="0" r:id="rId33">
            <anchor moveWithCells="1">
              <from>
                <xdr:col>1</xdr:col>
                <xdr:colOff>746760</xdr:colOff>
                <xdr:row>6</xdr:row>
                <xdr:rowOff>7620</xdr:rowOff>
              </from>
              <to>
                <xdr:col>2</xdr:col>
                <xdr:colOff>708660</xdr:colOff>
                <xdr:row>7</xdr:row>
                <xdr:rowOff>152400</xdr:rowOff>
              </to>
            </anchor>
          </controlPr>
        </control>
      </mc:Choice>
      <mc:Fallback>
        <control shapeId="1035" r:id="rId32" name="CommandButton2"/>
      </mc:Fallback>
    </mc:AlternateContent>
    <mc:AlternateContent xmlns:mc="http://schemas.openxmlformats.org/markup-compatibility/2006">
      <mc:Choice Requires="x14">
        <control shapeId="1034" r:id="rId34" name="CommandButton1">
          <controlPr defaultSize="0" autoFill="0" autoLine="0" r:id="rId35">
            <anchor moveWithCells="1">
              <from>
                <xdr:col>0</xdr:col>
                <xdr:colOff>762000</xdr:colOff>
                <xdr:row>6</xdr:row>
                <xdr:rowOff>7620</xdr:rowOff>
              </from>
              <to>
                <xdr:col>1</xdr:col>
                <xdr:colOff>746760</xdr:colOff>
                <xdr:row>7</xdr:row>
                <xdr:rowOff>152400</xdr:rowOff>
              </to>
            </anchor>
          </controlPr>
        </control>
      </mc:Choice>
      <mc:Fallback>
        <control shapeId="1034" r:id="rId34" name="CommandButton1"/>
      </mc:Fallback>
    </mc:AlternateContent>
    <mc:AlternateContent xmlns:mc="http://schemas.openxmlformats.org/markup-compatibility/2006">
      <mc:Choice Requires="x14">
        <control shapeId="1032" r:id="rId36" name="Autodesk">
          <controlPr defaultSize="0" autoFill="0" autoLine="0" r:id="rId37">
            <anchor moveWithCells="1">
              <from>
                <xdr:col>0</xdr:col>
                <xdr:colOff>0</xdr:colOff>
                <xdr:row>6</xdr:row>
                <xdr:rowOff>7620</xdr:rowOff>
              </from>
              <to>
                <xdr:col>0</xdr:col>
                <xdr:colOff>762000</xdr:colOff>
                <xdr:row>7</xdr:row>
                <xdr:rowOff>152400</xdr:rowOff>
              </to>
            </anchor>
          </controlPr>
        </control>
      </mc:Choice>
      <mc:Fallback>
        <control shapeId="1032" r:id="rId36" name="Autodesk"/>
      </mc:Fallback>
    </mc:AlternateContent>
  </controls>
  <tableParts count="1">
    <tablePart r:id="rId3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"/>
  <sheetViews>
    <sheetView zoomScale="130" zoomScaleNormal="130" workbookViewId="0">
      <selection activeCell="H7" sqref="H7"/>
    </sheetView>
  </sheetViews>
  <sheetFormatPr defaultColWidth="8.6640625" defaultRowHeight="14.4" x14ac:dyDescent="0.3"/>
  <cols>
    <col min="1" max="1" width="17.109375" customWidth="1"/>
    <col min="2" max="2" width="11.33203125" customWidth="1"/>
    <col min="3" max="3" width="10.33203125" customWidth="1"/>
    <col min="4" max="4" width="11.109375" customWidth="1"/>
    <col min="5" max="5" width="10.6640625" customWidth="1"/>
    <col min="6" max="6" width="10" customWidth="1"/>
    <col min="7" max="7" width="10.33203125" customWidth="1"/>
    <col min="8" max="8" width="10" customWidth="1"/>
  </cols>
  <sheetData>
    <row r="1" spans="1:7" ht="15" customHeight="1" x14ac:dyDescent="0.3">
      <c r="A1" s="39" t="s">
        <v>6</v>
      </c>
      <c r="B1" s="40"/>
      <c r="C1" s="41"/>
      <c r="D1" s="4" t="s">
        <v>0</v>
      </c>
      <c r="E1" s="5"/>
    </row>
    <row r="2" spans="1:7" x14ac:dyDescent="0.3">
      <c r="A2" s="42"/>
      <c r="B2" s="43"/>
      <c r="C2" s="44"/>
      <c r="D2" s="6" t="s">
        <v>55</v>
      </c>
      <c r="E2" s="7"/>
    </row>
    <row r="3" spans="1:7" x14ac:dyDescent="0.3">
      <c r="A3" s="42"/>
      <c r="B3" s="43"/>
      <c r="C3" s="44"/>
      <c r="D3" s="8" t="s">
        <v>1</v>
      </c>
      <c r="E3" s="9"/>
    </row>
    <row r="4" spans="1:7" ht="66" customHeight="1" x14ac:dyDescent="0.3">
      <c r="A4" s="45"/>
      <c r="B4" s="46"/>
      <c r="C4" s="47"/>
      <c r="D4" s="10">
        <v>2023</v>
      </c>
      <c r="E4" s="11"/>
    </row>
    <row r="6" spans="1:7" x14ac:dyDescent="0.3">
      <c r="G6" t="s">
        <v>110</v>
      </c>
    </row>
    <row r="9" spans="1:7" ht="28.8" x14ac:dyDescent="0.3">
      <c r="A9" s="2" t="s">
        <v>7</v>
      </c>
      <c r="B9" s="2" t="s">
        <v>2</v>
      </c>
      <c r="C9" s="2" t="s">
        <v>3</v>
      </c>
      <c r="D9" s="2" t="s">
        <v>4</v>
      </c>
      <c r="E9" s="2" t="s">
        <v>5</v>
      </c>
    </row>
    <row r="10" spans="1:7" x14ac:dyDescent="0.3">
      <c r="A10" s="12" t="s">
        <v>12</v>
      </c>
      <c r="B10" s="13">
        <v>45085</v>
      </c>
      <c r="C10" s="13">
        <v>44930</v>
      </c>
      <c r="D10" s="13">
        <v>44962</v>
      </c>
      <c r="E10" s="13">
        <v>44980</v>
      </c>
    </row>
    <row r="11" spans="1:7" x14ac:dyDescent="0.3">
      <c r="A11" s="12" t="s">
        <v>13</v>
      </c>
      <c r="B11" s="13">
        <v>44751</v>
      </c>
      <c r="C11" s="13">
        <v>45147</v>
      </c>
      <c r="D11" s="13">
        <v>44629</v>
      </c>
      <c r="E11" s="13">
        <v>43870</v>
      </c>
    </row>
    <row r="12" spans="1:7" x14ac:dyDescent="0.3">
      <c r="A12" s="12" t="s">
        <v>14</v>
      </c>
      <c r="B12" s="13">
        <v>45095</v>
      </c>
      <c r="C12" s="13">
        <v>47068</v>
      </c>
      <c r="D12" s="13">
        <v>45607</v>
      </c>
      <c r="E12" s="13">
        <v>45758</v>
      </c>
    </row>
    <row r="13" spans="1:7" x14ac:dyDescent="0.3">
      <c r="A13" s="12" t="s">
        <v>15</v>
      </c>
      <c r="B13" s="13">
        <v>45627</v>
      </c>
      <c r="C13" s="13">
        <v>45292</v>
      </c>
      <c r="D13" s="13">
        <v>45261</v>
      </c>
      <c r="E13" s="13">
        <v>44986</v>
      </c>
    </row>
    <row r="14" spans="1:7" x14ac:dyDescent="0.3">
      <c r="A14" s="12" t="s">
        <v>16</v>
      </c>
      <c r="B14" s="13">
        <v>44907</v>
      </c>
      <c r="C14" s="13">
        <v>44905</v>
      </c>
      <c r="D14" s="13">
        <v>45272</v>
      </c>
      <c r="E14" s="13">
        <v>44542</v>
      </c>
    </row>
    <row r="15" spans="1:7" x14ac:dyDescent="0.3">
      <c r="A15" s="12" t="s">
        <v>17</v>
      </c>
      <c r="B15" s="13">
        <v>45090</v>
      </c>
      <c r="C15" s="13">
        <v>45456</v>
      </c>
      <c r="D15" s="13">
        <v>44694</v>
      </c>
      <c r="E15" s="13">
        <v>44970</v>
      </c>
    </row>
  </sheetData>
  <mergeCells count="1">
    <mergeCell ref="A1:C4"/>
  </mergeCells>
  <phoneticPr fontId="5" type="noConversion"/>
  <conditionalFormatting sqref="B10:E15">
    <cfRule type="cellIs" dxfId="0" priority="1" operator="lessThan">
      <formula>TODAY()</formula>
    </cfRule>
  </conditionalFormatting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AF2418-CFC2-4AB0-B7DD-04C2072BDE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Software expiration date</vt:lpstr>
      <vt:lpstr>Certificate expiration 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d_a_r_k_o</dc:creator>
  <cp:lastModifiedBy>Darko</cp:lastModifiedBy>
  <cp:lastPrinted>2021-06-16T07:06:51Z</cp:lastPrinted>
  <dcterms:created xsi:type="dcterms:W3CDTF">2021-05-18T07:05:37Z</dcterms:created>
  <dcterms:modified xsi:type="dcterms:W3CDTF">2024-01-25T20:19:06Z</dcterms:modified>
</cp:coreProperties>
</file>